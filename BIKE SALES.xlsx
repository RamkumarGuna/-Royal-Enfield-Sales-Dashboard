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\Desktop\"/>
    </mc:Choice>
  </mc:AlternateContent>
  <xr:revisionPtr revIDLastSave="0" documentId="13_ncr:1_{4712FF09-5AF3-477C-BAAE-98DD73EC7FDA}" xr6:coauthVersionLast="47" xr6:coauthVersionMax="47" xr10:uidLastSave="{00000000-0000-0000-0000-000000000000}"/>
  <bookViews>
    <workbookView xWindow="-120" yWindow="-120" windowWidth="29040" windowHeight="15720" xr2:uid="{ADAA1750-9712-4A56-9E99-BAC4C8C4B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<sst xmlns="http://schemas.openxmlformats.org/spreadsheetml/2006/main" count="51" uniqueCount="51">
  <si>
    <t>OrderID,OrderDate,DealerID,DealerName,City,State,Model,Category,Color,Quantity,UnitPrice,COGS,CustomerType</t>
  </si>
  <si>
    <t>1001,2025-04-05,D01,RE Anna Nagar,Chennai,Tamil Nadu,Classic 350,Retro,Black,1,195000,145000,Individual</t>
  </si>
  <si>
    <t>1002,2025-04-06,D02,RE MG Road,Bangalore,Karnataka,Hunter 350,Roadster,Rebel Blue,2,150000,110000,Individual</t>
  </si>
  <si>
    <t>1003,2025-04-08,D01,RE Anna Nagar,Chennai,Tamil Nadu,Meteor 350,Cruiser,Fireball Red,1,205000,155000,Corporate</t>
  </si>
  <si>
    <t>1004,2025-04-10,D03,RE FC Road,Pune,Maharashtra,Continental GT 650,Cafe Racer,Chrome,1,315000,240000,Individual</t>
  </si>
  <si>
    <t>1005,2025-04-12,D04,RE Park Street,Kolkata,West Bengal,Classic 350,Retro,Halcyon Green,1,195000,145000,Individual</t>
  </si>
  <si>
    <t>1006,2025-05-01,D02,RE MG Road,Bangalore,Karnataka,Super Meteor 650,Cruiser,Astral Black,1,350000,270000,Individual</t>
  </si>
  <si>
    <t>1007,2025-05-03,D05,RE Connaught Place,Delhi,Delhi,Hunter 350,Roadster,Dapper White,3,150000,110000,Corporate</t>
  </si>
  <si>
    <t>1008,2025-05-07,D06,RE Banjara Hills,Hyderabad,Telangana,Bullet 350,Retro,Black,2,173000,130000,Individual</t>
  </si>
  <si>
    <t>1009,2025-05-15,D01,RE Anna Nagar,Chennai,Tamil Nadu,Classic 350,Retro,Chrome Bronze,1,195000,145000,Individual</t>
  </si>
  <si>
    <t>1010,2025-05-20,D07,RE Navrangpura,Ahmedabad,Gujarat,Scram 411,ADV,White Flame,1,206000,156000,Individual</t>
  </si>
  <si>
    <t>1011,2025-06-02,D03,RE FC Road,Pune,Maharashtra,Hunter 350,Roadster,Factory Black,2,150000,110000,Individual</t>
  </si>
  <si>
    <t>1012,2025-06-05,D08,RE Sector 17,Chandigarh,Punjab,Meteor 350,Cruiser,Supernova Blue,1,215000,165000,Individual</t>
  </si>
  <si>
    <t>1013,2025-06-10,D02,RE MG Road,Bangalore,Karnataka,Classic 350,Retro,Signals Desert,1,195000,145000,Corporate</t>
  </si>
  <si>
    <t>1014,2025-06-18,D09,RE MI Road,Jaipur,Rajasthan,Super Meteor 650,Cruiser,Interstellar Green,1,350000,270000,Individual</t>
  </si>
  <si>
    <t>1015,2025-07-01,D05,RE Connaught Place,Delhi,Delhi,Continental GT 650,Cafe Racer,Rocker Red,1,315000,240000,Individual</t>
  </si>
  <si>
    <t>1016,2025-07-04,D01,RE Anna Nagar,Chennai,Tamil Nadu,Hunter 350,Roadster,Rebel Blue,1,150000,110000,Individual</t>
  </si>
  <si>
    <t>1017,2025-07-08,D10,RE Hazratganj,Lucknow,Uttar Pradesh,Bullet 350,Retro,Forest Green,1,173000,130000,Individual</t>
  </si>
  <si>
    <t>1018,2025-07-15,D04,RE Park Street,Kolkata,West Bengal,Meteor 350,Cruiser,Stellar Black,2,205000,155000,Corporate</t>
  </si>
  <si>
    <t>1019,2025-08-02,D06,RE Banjara Hills,Hyderabad,Telangana,Classic 350,Retro,Stealth Black,3,195000,145000,Individual</t>
  </si>
  <si>
    <t>1020,2025-08-05,D02,RE MG Road,Bangalore,Karnataka,Scram 411,ADV,Skyline Blue,1,206000,156000,Individual</t>
  </si>
  <si>
    <t>1021,2025-08-12,D03,RE FC Road,Pune,Maharashtra,Super Meteor 650,Cruiser,Celestial Red,1,350000,270000,Individual</t>
  </si>
  <si>
    <t>1022,2025-08-20,D07,RE Navrangpura,Ahmedabad,Gujarat,Hunter 350,Roadster,Dapper White,2,150000,110000,Individual</t>
  </si>
  <si>
    <t>1023,2025-09-01,D05,RE Connaught Place,Delhi,Delhi,Classic 350,Retro,Signals Marsh,1,195000,145000,Corporate</t>
  </si>
  <si>
    <t>1024,2025-09-05,D01,RE Anna Nagar,Chennai,Tamil Nadu,Continental GT 650,Cafe Racer,British Racing Green,1,315000,240000,Individual</t>
  </si>
  <si>
    <t>1025,2025-09-10,D08,RE Sector 17,Chandigarh,Punjab,Meteor 350,Cruiser,Fireball Yellow,1,205000,155000,Individual</t>
  </si>
  <si>
    <t>1026,2025-10-01,D04,RE Park Street,Kolkata,West Bengal,Bullet 350,Retro,Black,2,173000,130000,Individual</t>
  </si>
  <si>
    <t>1027,2025-10-05,D02,RE MG Road,Bangalore,Karnataka,Classic 350,Retro,Halcyon Black,2,195000,145000,Individual</t>
  </si>
  <si>
    <t>1028,2025-10-12,D09,RE MI Road,Jaipur,Rajasthan,Hunter 350,Roadster,Factory Black,1,150000,110000,Individual</t>
  </si>
  <si>
    <t>1029,2025-10-18,D03,RE FC Road,Pune,Maharashtra,Super Meteor 650,Cruiser,Astral Blue,1,350000,270000,Corporate</t>
  </si>
  <si>
    <t>1030,2025-11-02,D06,RE Banjara Hills,Hyderabad,Telangana,Meteor 350,Cruiser,Supernova Brown,1,215000,165000,Individual</t>
  </si>
  <si>
    <t>1031,2025-11-08,D01,RE Anna Nagar,Chennai,Tamil Nadu,Scram 411,ADV,Blazing Black,1,206000,156000,Individual</t>
  </si>
  <si>
    <t>1032,2025-11-15,D05,RE Connaught Place,Delhi,Delhi,Classic 350,Retro,Chrome Red,4,195000,145000,Individual</t>
  </si>
  <si>
    <t>1033,2025-11-20,D10,RE Hazratganj,Lucknow,Uttar Pradesh,Hunter 350,Roadster,Rebel Blue,1,150000,110000,Individual</t>
  </si>
  <si>
    <t>1034,2025-12-01,D02,RE MG Road,Bangalore,Karnataka,Continental GT 650,Cafe Racer,Mister Clean,1,315000,240000,Corporate</t>
  </si>
  <si>
    <t>1035,2025-12-05,D07,RE Navrangpura,Ahmedabad,Gujarat,Bullet 350,Retro,Marsh Grey,1,173000,130000,Individual</t>
  </si>
  <si>
    <t>1036,2025-12-10,D04,RE Park Street,Kolkata,West Bengal,Classic 350,Retro,Signals Sand,2,195000,145000,Individual</t>
  </si>
  <si>
    <t>1037,2025-12-18,D03,RE FC Road,Pune,Maharashtra,Meteor 350,Cruiser,Stellar Red,1,205000,155000,Individual</t>
  </si>
  <si>
    <t>1038,2025-12-22,D01,RE Anna Nagar,Chennai,Tamil Nadu,Super Meteor 650,Cruiser,Interstellar Grey,1,350000,270000,Individual</t>
  </si>
  <si>
    <t>1039,2026-01-03,D08,RE Sector 17,Chandigarh,Punjab,Hunter 350,Roadster,Dapper Grey,2,150000,110000,Individual</t>
  </si>
  <si>
    <t>1040,2026-01-10,D05,RE Connaught Place,Delhi,Delhi,Classic 350,Retro,Halcyon Green,1,195000,145000,Corporate</t>
  </si>
  <si>
    <t>1041,2026-01-15,D06,RE Banjara Hills,Hyderabad,Telangana,Scram 411,ADV,White Flame,1,206000,156000,Individual</t>
  </si>
  <si>
    <t>1042,2026-01-20,D02,RE MG Road,Bangalore,Karnataka,Meteor 350,Cruiser,Fireball Red,1,205000,155000,Individual</t>
  </si>
  <si>
    <t>1043,2026-02-01,D09,RE MI Road,Jaipur,Rajasthan,Bullet 350,Retro,Black,1,173000,130000,Individual</t>
  </si>
  <si>
    <t>1044,2026-02-05,D01,RE Anna Nagar,Chennai,Tamil Nadu,Continental GT 650,Cafe Racer,Chrome,1,315000,240000,Individual</t>
  </si>
  <si>
    <t>1045,2026-02-10,D03,RE FC Road,Pune,Maharashtra,Classic 350,Retro,Stealth Black,2,195000,145000,Individual</t>
  </si>
  <si>
    <t>1046,2026-02-14,D04,RE Park Street,Kolkata,West Bengal,Hunter 350,Roadster,Rebel Blue,1,150000,110000,Individual</t>
  </si>
  <si>
    <t>1047,2026-02-20,D07,RE Navrangpura,Ahmedabad,Gujarat,Super Meteor 650,Cruiser,Astral Black,1,350000,270000,Corporate</t>
  </si>
  <si>
    <t>1048,2026-03-01,D05,RE Connaught Place,Delhi,Delhi,Meteor 350,Cruiser,Supernova Blue,1,215000,165000,Individual</t>
  </si>
  <si>
    <t>1049,2026-03-05,D10,RE Hazratganj,Lucknow,Uttar Pradesh,Classic 350,Retro,Signals Desert,1,195000,145000,Individual</t>
  </si>
  <si>
    <t>1050,2026-03-10,D02,RE MG Road,Bangalore,Karnataka,Bullet 350,Retro,Forest Green,1,173000,130000,Individual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</si>
</sst>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1F99-BF75-43B8-AC26-C76F651612C3}">
  <dimension ref="A1:N51"/>
  <sheetViews>
    <sheetView tabSelected="1" workbookViewId="0">
      <selection activeCell="P19" sqref="P19"/>
    </sheetView>
  </sheetViews>
  <sheetFormatPr defaultRowHeight="15" x14ac:dyDescent="0.25"/>
  <cols>
    <col min="1" max="1" width="34.42578125" style="1" customWidth="1"/>
    <col min="2" max="2" width="8.140625" style="1" bestFit="1" customWidth="1"/>
    <col min="3" max="3" width="10.42578125" style="1" bestFit="1" customWidth="1"/>
    <col min="4" max="4" width="9" style="1" bestFit="1" customWidth="1"/>
    <col min="5" max="5" width="18.7109375" style="1" bestFit="1" customWidth="1"/>
    <col min="6" max="6" width="11.7109375" style="1" bestFit="1" customWidth="1"/>
    <col min="7" max="7" width="13.140625" style="1" bestFit="1" customWidth="1"/>
    <col min="8" max="8" width="17.5703125" style="1" bestFit="1" customWidth="1"/>
    <col min="9" max="9" width="10.28515625" style="1" bestFit="1" customWidth="1"/>
    <col min="10" max="10" width="19" style="1" bestFit="1" customWidth="1"/>
    <col min="11" max="11" width="8.7109375" style="1" bestFit="1" customWidth="1"/>
    <col min="12" max="12" width="9.28515625" style="1" bestFit="1" customWidth="1"/>
    <col min="13" max="13" width="7" style="1" bestFit="1" customWidth="1"/>
    <col min="14" max="14" width="14.42578125" style="1" bestFit="1" customWidth="1"/>
    <col min="15" max="16384" width="9.140625" style="1"/>
  </cols>
  <sheetData>
    <row r="1" spans="1:14" x14ac:dyDescent="0.25">
      <c r="A1" s="1" t="s">
        <v>0</v>
      </c>
      <c r="B1" s="2" t="str" cm="1">
        <f t="array" ref="B1:N1">_xlfn.TEXTSPLIT(A1,",")</f>
        <v>OrderID</v>
      </c>
      <c r="C1" s="2" t="str">
        <v>OrderDate</v>
      </c>
      <c r="D1" s="2" t="str">
        <v>DealerID</v>
      </c>
      <c r="E1" s="2" t="str">
        <v>DealerName</v>
      </c>
      <c r="F1" s="2" t="str">
        <v>City</v>
      </c>
      <c r="G1" s="2" t="str">
        <v>State</v>
      </c>
      <c r="H1" s="2" t="str">
        <v>Model</v>
      </c>
      <c r="I1" s="2" t="str">
        <v>Category</v>
      </c>
      <c r="J1" s="2" t="str">
        <v>Color</v>
      </c>
      <c r="K1" s="2" t="str">
        <v>Quantity</v>
      </c>
      <c r="L1" s="2" t="str">
        <v>UnitPrice</v>
      </c>
      <c r="M1" s="2" t="str">
        <v>COGS</v>
      </c>
      <c r="N1" s="2" t="str">
        <v>CustomerType</v>
      </c>
    </row>
    <row r="2" spans="1:14" x14ac:dyDescent="0.25">
      <c r="A2" s="1" t="s">
        <v>1</v>
      </c>
      <c r="B2" s="1" t="str" cm="1">
        <f t="array" ref="B2:N2">_xlfn.TEXTSPLIT(A2,",")</f>
        <v>1001</v>
      </c>
      <c r="C2" s="1" t="str">
        <v>2025-04-05</v>
      </c>
      <c r="D2" s="1" t="str">
        <v>D01</v>
      </c>
      <c r="E2" s="1" t="str">
        <v>RE Anna Nagar</v>
      </c>
      <c r="F2" s="1" t="str">
        <v>Chennai</v>
      </c>
      <c r="G2" s="1" t="str">
        <v>Tamil Nadu</v>
      </c>
      <c r="H2" s="1" t="str">
        <v>Classic 350</v>
      </c>
      <c r="I2" s="1" t="str">
        <v>Retro</v>
      </c>
      <c r="J2" s="1" t="str">
        <v>Black</v>
      </c>
      <c r="K2" s="1" t="str">
        <v>1</v>
      </c>
      <c r="L2" s="1" t="str">
        <v>195000</v>
      </c>
      <c r="M2" s="1" t="str">
        <v>145000</v>
      </c>
      <c r="N2" s="1" t="str">
        <v>Individual</v>
      </c>
    </row>
    <row r="3" spans="1:14" x14ac:dyDescent="0.25">
      <c r="A3" s="1" t="s">
        <v>2</v>
      </c>
      <c r="B3" s="1" t="str" cm="1">
        <f t="array" ref="B3:N3">_xlfn.TEXTSPLIT(A3,",")</f>
        <v>1002</v>
      </c>
      <c r="C3" s="1" t="str">
        <v>2025-04-06</v>
      </c>
      <c r="D3" s="1" t="str">
        <v>D02</v>
      </c>
      <c r="E3" s="1" t="str">
        <v>RE MG Road</v>
      </c>
      <c r="F3" s="1" t="str">
        <v>Bangalore</v>
      </c>
      <c r="G3" s="1" t="str">
        <v>Karnataka</v>
      </c>
      <c r="H3" s="1" t="str">
        <v>Hunter 350</v>
      </c>
      <c r="I3" s="1" t="str">
        <v>Roadster</v>
      </c>
      <c r="J3" s="1" t="str">
        <v>Rebel Blue</v>
      </c>
      <c r="K3" s="1" t="str">
        <v>2</v>
      </c>
      <c r="L3" s="1" t="str">
        <v>150000</v>
      </c>
      <c r="M3" s="1" t="str">
        <v>110000</v>
      </c>
      <c r="N3" s="1" t="str">
        <v>Individual</v>
      </c>
    </row>
    <row r="4" spans="1:14" x14ac:dyDescent="0.25">
      <c r="A4" s="1" t="s">
        <v>3</v>
      </c>
      <c r="B4" s="1" t="str" cm="1">
        <f t="array" ref="B4:N4">_xlfn.TEXTSPLIT(A4,",")</f>
        <v>1003</v>
      </c>
      <c r="C4" s="1" t="str">
        <v>2025-04-08</v>
      </c>
      <c r="D4" s="1" t="str">
        <v>D01</v>
      </c>
      <c r="E4" s="1" t="str">
        <v>RE Anna Nagar</v>
      </c>
      <c r="F4" s="1" t="str">
        <v>Chennai</v>
      </c>
      <c r="G4" s="1" t="str">
        <v>Tamil Nadu</v>
      </c>
      <c r="H4" s="1" t="str">
        <v>Meteor 350</v>
      </c>
      <c r="I4" s="1" t="str">
        <v>Cruiser</v>
      </c>
      <c r="J4" s="1" t="str">
        <v>Fireball Red</v>
      </c>
      <c r="K4" s="1" t="str">
        <v>1</v>
      </c>
      <c r="L4" s="1" t="str">
        <v>205000</v>
      </c>
      <c r="M4" s="1" t="str">
        <v>155000</v>
      </c>
      <c r="N4" s="1" t="str">
        <v>Corporate</v>
      </c>
    </row>
    <row r="5" spans="1:14" x14ac:dyDescent="0.25">
      <c r="A5" s="1" t="s">
        <v>4</v>
      </c>
      <c r="B5" s="1" t="str" cm="1">
        <f t="array" ref="B5:N5">_xlfn.TEXTSPLIT(A5,",")</f>
        <v>1004</v>
      </c>
      <c r="C5" s="1" t="str">
        <v>2025-04-10</v>
      </c>
      <c r="D5" s="1" t="str">
        <v>D03</v>
      </c>
      <c r="E5" s="1" t="str">
        <v>RE FC Road</v>
      </c>
      <c r="F5" s="1" t="str">
        <v>Pune</v>
      </c>
      <c r="G5" s="1" t="str">
        <v>Maharashtra</v>
      </c>
      <c r="H5" s="1" t="str">
        <v>Continental GT 650</v>
      </c>
      <c r="I5" s="1" t="str">
        <v>Cafe Racer</v>
      </c>
      <c r="J5" s="1" t="str">
        <v>Chrome</v>
      </c>
      <c r="K5" s="1" t="str">
        <v>1</v>
      </c>
      <c r="L5" s="1" t="str">
        <v>315000</v>
      </c>
      <c r="M5" s="1" t="str">
        <v>240000</v>
      </c>
      <c r="N5" s="1" t="str">
        <v>Individual</v>
      </c>
    </row>
    <row r="6" spans="1:14" x14ac:dyDescent="0.25">
      <c r="A6" s="1" t="s">
        <v>5</v>
      </c>
      <c r="B6" s="1" t="str" cm="1">
        <f t="array" ref="B6:N6">_xlfn.TEXTSPLIT(A6,",")</f>
        <v>1005</v>
      </c>
      <c r="C6" s="1" t="str">
        <v>2025-04-12</v>
      </c>
      <c r="D6" s="1" t="str">
        <v>D04</v>
      </c>
      <c r="E6" s="1" t="str">
        <v>RE Park Street</v>
      </c>
      <c r="F6" s="1" t="str">
        <v>Kolkata</v>
      </c>
      <c r="G6" s="1" t="str">
        <v>West Bengal</v>
      </c>
      <c r="H6" s="1" t="str">
        <v>Classic 350</v>
      </c>
      <c r="I6" s="1" t="str">
        <v>Retro</v>
      </c>
      <c r="J6" s="1" t="str">
        <v>Halcyon Green</v>
      </c>
      <c r="K6" s="1" t="str">
        <v>1</v>
      </c>
      <c r="L6" s="1" t="str">
        <v>195000</v>
      </c>
      <c r="M6" s="1" t="str">
        <v>145000</v>
      </c>
      <c r="N6" s="1" t="str">
        <v>Individual</v>
      </c>
    </row>
    <row r="7" spans="1:14" x14ac:dyDescent="0.25">
      <c r="A7" s="1" t="s">
        <v>6</v>
      </c>
      <c r="B7" s="1" t="str" cm="1">
        <f t="array" ref="B7:N7">_xlfn.TEXTSPLIT(A7,",")</f>
        <v>1006</v>
      </c>
      <c r="C7" s="1" t="str">
        <v>2025-05-01</v>
      </c>
      <c r="D7" s="1" t="str">
        <v>D02</v>
      </c>
      <c r="E7" s="1" t="str">
        <v>RE MG Road</v>
      </c>
      <c r="F7" s="1" t="str">
        <v>Bangalore</v>
      </c>
      <c r="G7" s="1" t="str">
        <v>Karnataka</v>
      </c>
      <c r="H7" s="1" t="str">
        <v>Super Meteor 650</v>
      </c>
      <c r="I7" s="1" t="str">
        <v>Cruiser</v>
      </c>
      <c r="J7" s="1" t="str">
        <v>Astral Black</v>
      </c>
      <c r="K7" s="1" t="str">
        <v>1</v>
      </c>
      <c r="L7" s="1" t="str">
        <v>350000</v>
      </c>
      <c r="M7" s="1" t="str">
        <v>270000</v>
      </c>
      <c r="N7" s="1" t="str">
        <v>Individual</v>
      </c>
    </row>
    <row r="8" spans="1:14" x14ac:dyDescent="0.25">
      <c r="A8" s="1" t="s">
        <v>7</v>
      </c>
      <c r="B8" s="1" t="str" cm="1">
        <f t="array" ref="B8:N8">_xlfn.TEXTSPLIT(A8,",")</f>
        <v>1007</v>
      </c>
      <c r="C8" s="1" t="str">
        <v>2025-05-03</v>
      </c>
      <c r="D8" s="1" t="str">
        <v>D05</v>
      </c>
      <c r="E8" s="1" t="str">
        <v>RE Connaught Place</v>
      </c>
      <c r="F8" s="1" t="str">
        <v>Delhi</v>
      </c>
      <c r="G8" s="1" t="str">
        <v>Delhi</v>
      </c>
      <c r="H8" s="1" t="str">
        <v>Hunter 350</v>
      </c>
      <c r="I8" s="1" t="str">
        <v>Roadster</v>
      </c>
      <c r="J8" s="1" t="str">
        <v>Dapper White</v>
      </c>
      <c r="K8" s="1" t="str">
        <v>3</v>
      </c>
      <c r="L8" s="1" t="str">
        <v>150000</v>
      </c>
      <c r="M8" s="1" t="str">
        <v>110000</v>
      </c>
      <c r="N8" s="1" t="str">
        <v>Corporate</v>
      </c>
    </row>
    <row r="9" spans="1:14" x14ac:dyDescent="0.25">
      <c r="A9" s="1" t="s">
        <v>8</v>
      </c>
      <c r="B9" s="1" t="str" cm="1">
        <f t="array" ref="B9:N9">_xlfn.TEXTSPLIT(A9,",")</f>
        <v>1008</v>
      </c>
      <c r="C9" s="1" t="str">
        <v>2025-05-07</v>
      </c>
      <c r="D9" s="1" t="str">
        <v>D06</v>
      </c>
      <c r="E9" s="1" t="str">
        <v>RE Banjara Hills</v>
      </c>
      <c r="F9" s="1" t="str">
        <v>Hyderabad</v>
      </c>
      <c r="G9" s="1" t="str">
        <v>Telangana</v>
      </c>
      <c r="H9" s="1" t="str">
        <v>Bullet 350</v>
      </c>
      <c r="I9" s="1" t="str">
        <v>Retro</v>
      </c>
      <c r="J9" s="1" t="str">
        <v>Black</v>
      </c>
      <c r="K9" s="1" t="str">
        <v>2</v>
      </c>
      <c r="L9" s="1" t="str">
        <v>173000</v>
      </c>
      <c r="M9" s="1" t="str">
        <v>130000</v>
      </c>
      <c r="N9" s="1" t="str">
        <v>Individual</v>
      </c>
    </row>
    <row r="10" spans="1:14" x14ac:dyDescent="0.25">
      <c r="A10" s="1" t="s">
        <v>9</v>
      </c>
      <c r="B10" s="1" t="str" cm="1">
        <f t="array" ref="B10:N10">_xlfn.TEXTSPLIT(A10,",")</f>
        <v>1009</v>
      </c>
      <c r="C10" s="1" t="str">
        <v>2025-05-15</v>
      </c>
      <c r="D10" s="1" t="str">
        <v>D01</v>
      </c>
      <c r="E10" s="1" t="str">
        <v>RE Anna Nagar</v>
      </c>
      <c r="F10" s="1" t="str">
        <v>Chennai</v>
      </c>
      <c r="G10" s="1" t="str">
        <v>Tamil Nadu</v>
      </c>
      <c r="H10" s="1" t="str">
        <v>Classic 350</v>
      </c>
      <c r="I10" s="1" t="str">
        <v>Retro</v>
      </c>
      <c r="J10" s="1" t="str">
        <v>Chrome Bronze</v>
      </c>
      <c r="K10" s="1" t="str">
        <v>1</v>
      </c>
      <c r="L10" s="1" t="str">
        <v>195000</v>
      </c>
      <c r="M10" s="1" t="str">
        <v>145000</v>
      </c>
      <c r="N10" s="1" t="str">
        <v>Individual</v>
      </c>
    </row>
    <row r="11" spans="1:14" x14ac:dyDescent="0.25">
      <c r="A11" s="1" t="s">
        <v>10</v>
      </c>
      <c r="B11" s="1" t="str" cm="1">
        <f t="array" ref="B11:N11">_xlfn.TEXTSPLIT(A11,",")</f>
        <v>1010</v>
      </c>
      <c r="C11" s="1" t="str">
        <v>2025-05-20</v>
      </c>
      <c r="D11" s="1" t="str">
        <v>D07</v>
      </c>
      <c r="E11" s="1" t="str">
        <v>RE Navrangpura</v>
      </c>
      <c r="F11" s="1" t="str">
        <v>Ahmedabad</v>
      </c>
      <c r="G11" s="1" t="str">
        <v>Gujarat</v>
      </c>
      <c r="H11" s="1" t="str">
        <v>Scram 411</v>
      </c>
      <c r="I11" s="1" t="str">
        <v>ADV</v>
      </c>
      <c r="J11" s="1" t="str">
        <v>White Flame</v>
      </c>
      <c r="K11" s="1" t="str">
        <v>1</v>
      </c>
      <c r="L11" s="1" t="str">
        <v>206000</v>
      </c>
      <c r="M11" s="1" t="str">
        <v>156000</v>
      </c>
      <c r="N11" s="1" t="str">
        <v>Individual</v>
      </c>
    </row>
    <row r="12" spans="1:14" x14ac:dyDescent="0.25">
      <c r="A12" s="1" t="s">
        <v>11</v>
      </c>
      <c r="B12" s="1" t="str" cm="1">
        <f t="array" ref="B12:N12">_xlfn.TEXTSPLIT(A12,",")</f>
        <v>1011</v>
      </c>
      <c r="C12" s="1" t="str">
        <v>2025-06-02</v>
      </c>
      <c r="D12" s="1" t="str">
        <v>D03</v>
      </c>
      <c r="E12" s="1" t="str">
        <v>RE FC Road</v>
      </c>
      <c r="F12" s="1" t="str">
        <v>Pune</v>
      </c>
      <c r="G12" s="1" t="str">
        <v>Maharashtra</v>
      </c>
      <c r="H12" s="1" t="str">
        <v>Hunter 350</v>
      </c>
      <c r="I12" s="1" t="str">
        <v>Roadster</v>
      </c>
      <c r="J12" s="1" t="str">
        <v>Factory Black</v>
      </c>
      <c r="K12" s="1" t="str">
        <v>2</v>
      </c>
      <c r="L12" s="1" t="str">
        <v>150000</v>
      </c>
      <c r="M12" s="1" t="str">
        <v>110000</v>
      </c>
      <c r="N12" s="1" t="str">
        <v>Individual</v>
      </c>
    </row>
    <row r="13" spans="1:14" x14ac:dyDescent="0.25">
      <c r="A13" s="1" t="s">
        <v>12</v>
      </c>
      <c r="B13" s="1" t="str" cm="1">
        <f t="array" ref="B13:N13">_xlfn.TEXTSPLIT(A13,",")</f>
        <v>1012</v>
      </c>
      <c r="C13" s="1" t="str">
        <v>2025-06-05</v>
      </c>
      <c r="D13" s="1" t="str">
        <v>D08</v>
      </c>
      <c r="E13" s="1" t="str">
        <v>RE Sector 17</v>
      </c>
      <c r="F13" s="1" t="str">
        <v>Chandigarh</v>
      </c>
      <c r="G13" s="1" t="str">
        <v>Punjab</v>
      </c>
      <c r="H13" s="1" t="str">
        <v>Meteor 350</v>
      </c>
      <c r="I13" s="1" t="str">
        <v>Cruiser</v>
      </c>
      <c r="J13" s="1" t="str">
        <v>Supernova Blue</v>
      </c>
      <c r="K13" s="1" t="str">
        <v>1</v>
      </c>
      <c r="L13" s="1" t="str">
        <v>215000</v>
      </c>
      <c r="M13" s="1" t="str">
        <v>165000</v>
      </c>
      <c r="N13" s="1" t="str">
        <v>Individual</v>
      </c>
    </row>
    <row r="14" spans="1:14" x14ac:dyDescent="0.25">
      <c r="A14" s="1" t="s">
        <v>13</v>
      </c>
      <c r="B14" s="1" t="str" cm="1">
        <f t="array" ref="B14:N14">_xlfn.TEXTSPLIT(A14,",")</f>
        <v>1013</v>
      </c>
      <c r="C14" s="1" t="str">
        <v>2025-06-10</v>
      </c>
      <c r="D14" s="1" t="str">
        <v>D02</v>
      </c>
      <c r="E14" s="1" t="str">
        <v>RE MG Road</v>
      </c>
      <c r="F14" s="1" t="str">
        <v>Bangalore</v>
      </c>
      <c r="G14" s="1" t="str">
        <v>Karnataka</v>
      </c>
      <c r="H14" s="1" t="str">
        <v>Classic 350</v>
      </c>
      <c r="I14" s="1" t="str">
        <v>Retro</v>
      </c>
      <c r="J14" s="1" t="str">
        <v>Signals Desert</v>
      </c>
      <c r="K14" s="1" t="str">
        <v>1</v>
      </c>
      <c r="L14" s="1" t="str">
        <v>195000</v>
      </c>
      <c r="M14" s="1" t="str">
        <v>145000</v>
      </c>
      <c r="N14" s="1" t="str">
        <v>Corporate</v>
      </c>
    </row>
    <row r="15" spans="1:14" x14ac:dyDescent="0.25">
      <c r="A15" s="1" t="s">
        <v>14</v>
      </c>
      <c r="B15" s="1" t="str" cm="1">
        <f t="array" ref="B15:N15">_xlfn.TEXTSPLIT(A15,",")</f>
        <v>1014</v>
      </c>
      <c r="C15" s="1" t="str">
        <v>2025-06-18</v>
      </c>
      <c r="D15" s="1" t="str">
        <v>D09</v>
      </c>
      <c r="E15" s="1" t="str">
        <v>RE MI Road</v>
      </c>
      <c r="F15" s="1" t="str">
        <v>Jaipur</v>
      </c>
      <c r="G15" s="1" t="str">
        <v>Rajasthan</v>
      </c>
      <c r="H15" s="1" t="str">
        <v>Super Meteor 650</v>
      </c>
      <c r="I15" s="1" t="str">
        <v>Cruiser</v>
      </c>
      <c r="J15" s="1" t="str">
        <v>Interstellar Green</v>
      </c>
      <c r="K15" s="1" t="str">
        <v>1</v>
      </c>
      <c r="L15" s="1" t="str">
        <v>350000</v>
      </c>
      <c r="M15" s="1" t="str">
        <v>270000</v>
      </c>
      <c r="N15" s="1" t="str">
        <v>Individual</v>
      </c>
    </row>
    <row r="16" spans="1:14" x14ac:dyDescent="0.25">
      <c r="A16" s="1" t="s">
        <v>15</v>
      </c>
      <c r="B16" s="1" t="str" cm="1">
        <f t="array" ref="B16:N16">_xlfn.TEXTSPLIT(A16,",")</f>
        <v>1015</v>
      </c>
      <c r="C16" s="1" t="str">
        <v>2025-07-01</v>
      </c>
      <c r="D16" s="1" t="str">
        <v>D05</v>
      </c>
      <c r="E16" s="1" t="str">
        <v>RE Connaught Place</v>
      </c>
      <c r="F16" s="1" t="str">
        <v>Delhi</v>
      </c>
      <c r="G16" s="1" t="str">
        <v>Delhi</v>
      </c>
      <c r="H16" s="1" t="str">
        <v>Continental GT 650</v>
      </c>
      <c r="I16" s="1" t="str">
        <v>Cafe Racer</v>
      </c>
      <c r="J16" s="1" t="str">
        <v>Rocker Red</v>
      </c>
      <c r="K16" s="1" t="str">
        <v>1</v>
      </c>
      <c r="L16" s="1" t="str">
        <v>315000</v>
      </c>
      <c r="M16" s="1" t="str">
        <v>240000</v>
      </c>
      <c r="N16" s="1" t="str">
        <v>Individual</v>
      </c>
    </row>
    <row r="17" spans="1:14" x14ac:dyDescent="0.25">
      <c r="A17" s="1" t="s">
        <v>16</v>
      </c>
      <c r="B17" s="1" t="str" cm="1">
        <f t="array" ref="B17:N17">_xlfn.TEXTSPLIT(A17,",")</f>
        <v>1016</v>
      </c>
      <c r="C17" s="1" t="str">
        <v>2025-07-04</v>
      </c>
      <c r="D17" s="1" t="str">
        <v>D01</v>
      </c>
      <c r="E17" s="1" t="str">
        <v>RE Anna Nagar</v>
      </c>
      <c r="F17" s="1" t="str">
        <v>Chennai</v>
      </c>
      <c r="G17" s="1" t="str">
        <v>Tamil Nadu</v>
      </c>
      <c r="H17" s="1" t="str">
        <v>Hunter 350</v>
      </c>
      <c r="I17" s="1" t="str">
        <v>Roadster</v>
      </c>
      <c r="J17" s="1" t="str">
        <v>Rebel Blue</v>
      </c>
      <c r="K17" s="1" t="str">
        <v>1</v>
      </c>
      <c r="L17" s="1" t="str">
        <v>150000</v>
      </c>
      <c r="M17" s="1" t="str">
        <v>110000</v>
      </c>
      <c r="N17" s="1" t="str">
        <v>Individual</v>
      </c>
    </row>
    <row r="18" spans="1:14" x14ac:dyDescent="0.25">
      <c r="A18" s="1" t="s">
        <v>17</v>
      </c>
      <c r="B18" s="1" t="str" cm="1">
        <f t="array" ref="B18:N18">_xlfn.TEXTSPLIT(A18,",")</f>
        <v>1017</v>
      </c>
      <c r="C18" s="1" t="str">
        <v>2025-07-08</v>
      </c>
      <c r="D18" s="1" t="str">
        <v>D10</v>
      </c>
      <c r="E18" s="1" t="str">
        <v>RE Hazratganj</v>
      </c>
      <c r="F18" s="1" t="str">
        <v>Lucknow</v>
      </c>
      <c r="G18" s="1" t="str">
        <v>Uttar Pradesh</v>
      </c>
      <c r="H18" s="1" t="str">
        <v>Bullet 350</v>
      </c>
      <c r="I18" s="1" t="str">
        <v>Retro</v>
      </c>
      <c r="J18" s="1" t="str">
        <v>Forest Green</v>
      </c>
      <c r="K18" s="1" t="str">
        <v>1</v>
      </c>
      <c r="L18" s="1" t="str">
        <v>173000</v>
      </c>
      <c r="M18" s="1" t="str">
        <v>130000</v>
      </c>
      <c r="N18" s="1" t="str">
        <v>Individual</v>
      </c>
    </row>
    <row r="19" spans="1:14" x14ac:dyDescent="0.25">
      <c r="A19" s="1" t="s">
        <v>18</v>
      </c>
      <c r="B19" s="1" t="str" cm="1">
        <f t="array" ref="B19:N19">_xlfn.TEXTSPLIT(A19,",")</f>
        <v>1018</v>
      </c>
      <c r="C19" s="1" t="str">
        <v>2025-07-15</v>
      </c>
      <c r="D19" s="1" t="str">
        <v>D04</v>
      </c>
      <c r="E19" s="1" t="str">
        <v>RE Park Street</v>
      </c>
      <c r="F19" s="1" t="str">
        <v>Kolkata</v>
      </c>
      <c r="G19" s="1" t="str">
        <v>West Bengal</v>
      </c>
      <c r="H19" s="1" t="str">
        <v>Meteor 350</v>
      </c>
      <c r="I19" s="1" t="str">
        <v>Cruiser</v>
      </c>
      <c r="J19" s="1" t="str">
        <v>Stellar Black</v>
      </c>
      <c r="K19" s="1" t="str">
        <v>2</v>
      </c>
      <c r="L19" s="1" t="str">
        <v>205000</v>
      </c>
      <c r="M19" s="1" t="str">
        <v>155000</v>
      </c>
      <c r="N19" s="1" t="str">
        <v>Corporate</v>
      </c>
    </row>
    <row r="20" spans="1:14" x14ac:dyDescent="0.25">
      <c r="A20" s="1" t="s">
        <v>19</v>
      </c>
      <c r="B20" s="1" t="str" cm="1">
        <f t="array" ref="B20:N20">_xlfn.TEXTSPLIT(A20,",")</f>
        <v>1019</v>
      </c>
      <c r="C20" s="1" t="str">
        <v>2025-08-02</v>
      </c>
      <c r="D20" s="1" t="str">
        <v>D06</v>
      </c>
      <c r="E20" s="1" t="str">
        <v>RE Banjara Hills</v>
      </c>
      <c r="F20" s="1" t="str">
        <v>Hyderabad</v>
      </c>
      <c r="G20" s="1" t="str">
        <v>Telangana</v>
      </c>
      <c r="H20" s="1" t="str">
        <v>Classic 350</v>
      </c>
      <c r="I20" s="1" t="str">
        <v>Retro</v>
      </c>
      <c r="J20" s="1" t="str">
        <v>Stealth Black</v>
      </c>
      <c r="K20" s="1" t="str">
        <v>3</v>
      </c>
      <c r="L20" s="1" t="str">
        <v>195000</v>
      </c>
      <c r="M20" s="1" t="str">
        <v>145000</v>
      </c>
      <c r="N20" s="1" t="str">
        <v>Individual</v>
      </c>
    </row>
    <row r="21" spans="1:14" x14ac:dyDescent="0.25">
      <c r="A21" s="1" t="s">
        <v>20</v>
      </c>
      <c r="B21" s="1" t="str" cm="1">
        <f t="array" ref="B21:N21">_xlfn.TEXTSPLIT(A21,",")</f>
        <v>1020</v>
      </c>
      <c r="C21" s="1" t="str">
        <v>2025-08-05</v>
      </c>
      <c r="D21" s="1" t="str">
        <v>D02</v>
      </c>
      <c r="E21" s="1" t="str">
        <v>RE MG Road</v>
      </c>
      <c r="F21" s="1" t="str">
        <v>Bangalore</v>
      </c>
      <c r="G21" s="1" t="str">
        <v>Karnataka</v>
      </c>
      <c r="H21" s="1" t="str">
        <v>Scram 411</v>
      </c>
      <c r="I21" s="1" t="str">
        <v>ADV</v>
      </c>
      <c r="J21" s="1" t="str">
        <v>Skyline Blue</v>
      </c>
      <c r="K21" s="1" t="str">
        <v>1</v>
      </c>
      <c r="L21" s="1" t="str">
        <v>206000</v>
      </c>
      <c r="M21" s="1" t="str">
        <v>156000</v>
      </c>
      <c r="N21" s="1" t="str">
        <v>Individual</v>
      </c>
    </row>
    <row r="22" spans="1:14" x14ac:dyDescent="0.25">
      <c r="A22" s="1" t="s">
        <v>21</v>
      </c>
      <c r="B22" s="1" t="str" cm="1">
        <f t="array" ref="B22:N22">_xlfn.TEXTSPLIT(A22,",")</f>
        <v>1021</v>
      </c>
      <c r="C22" s="1" t="str">
        <v>2025-08-12</v>
      </c>
      <c r="D22" s="1" t="str">
        <v>D03</v>
      </c>
      <c r="E22" s="1" t="str">
        <v>RE FC Road</v>
      </c>
      <c r="F22" s="1" t="str">
        <v>Pune</v>
      </c>
      <c r="G22" s="1" t="str">
        <v>Maharashtra</v>
      </c>
      <c r="H22" s="1" t="str">
        <v>Super Meteor 650</v>
      </c>
      <c r="I22" s="1" t="str">
        <v>Cruiser</v>
      </c>
      <c r="J22" s="1" t="str">
        <v>Celestial Red</v>
      </c>
      <c r="K22" s="1" t="str">
        <v>1</v>
      </c>
      <c r="L22" s="1" t="str">
        <v>350000</v>
      </c>
      <c r="M22" s="1" t="str">
        <v>270000</v>
      </c>
      <c r="N22" s="1" t="str">
        <v>Individual</v>
      </c>
    </row>
    <row r="23" spans="1:14" x14ac:dyDescent="0.25">
      <c r="A23" s="1" t="s">
        <v>22</v>
      </c>
      <c r="B23" s="1" t="str" cm="1">
        <f t="array" ref="B23:N23">_xlfn.TEXTSPLIT(A23,",")</f>
        <v>1022</v>
      </c>
      <c r="C23" s="1" t="str">
        <v>2025-08-20</v>
      </c>
      <c r="D23" s="1" t="str">
        <v>D07</v>
      </c>
      <c r="E23" s="1" t="str">
        <v>RE Navrangpura</v>
      </c>
      <c r="F23" s="1" t="str">
        <v>Ahmedabad</v>
      </c>
      <c r="G23" s="1" t="str">
        <v>Gujarat</v>
      </c>
      <c r="H23" s="1" t="str">
        <v>Hunter 350</v>
      </c>
      <c r="I23" s="1" t="str">
        <v>Roadster</v>
      </c>
      <c r="J23" s="1" t="str">
        <v>Dapper White</v>
      </c>
      <c r="K23" s="1" t="str">
        <v>2</v>
      </c>
      <c r="L23" s="1" t="str">
        <v>150000</v>
      </c>
      <c r="M23" s="1" t="str">
        <v>110000</v>
      </c>
      <c r="N23" s="1" t="str">
        <v>Individual</v>
      </c>
    </row>
    <row r="24" spans="1:14" x14ac:dyDescent="0.25">
      <c r="A24" s="1" t="s">
        <v>23</v>
      </c>
      <c r="B24" s="1" t="str" cm="1">
        <f t="array" ref="B24:N24">_xlfn.TEXTSPLIT(A24,",")</f>
        <v>1023</v>
      </c>
      <c r="C24" s="1" t="str">
        <v>2025-09-01</v>
      </c>
      <c r="D24" s="1" t="str">
        <v>D05</v>
      </c>
      <c r="E24" s="1" t="str">
        <v>RE Connaught Place</v>
      </c>
      <c r="F24" s="1" t="str">
        <v>Delhi</v>
      </c>
      <c r="G24" s="1" t="str">
        <v>Delhi</v>
      </c>
      <c r="H24" s="1" t="str">
        <v>Classic 350</v>
      </c>
      <c r="I24" s="1" t="str">
        <v>Retro</v>
      </c>
      <c r="J24" s="1" t="str">
        <v>Signals Marsh</v>
      </c>
      <c r="K24" s="1" t="str">
        <v>1</v>
      </c>
      <c r="L24" s="1" t="str">
        <v>195000</v>
      </c>
      <c r="M24" s="1" t="str">
        <v>145000</v>
      </c>
      <c r="N24" s="1" t="str">
        <v>Corporate</v>
      </c>
    </row>
    <row r="25" spans="1:14" x14ac:dyDescent="0.25">
      <c r="A25" s="1" t="s">
        <v>24</v>
      </c>
      <c r="B25" s="1" t="str" cm="1">
        <f t="array" ref="B25:N25">_xlfn.TEXTSPLIT(A25,",")</f>
        <v>1024</v>
      </c>
      <c r="C25" s="1" t="str">
        <v>2025-09-05</v>
      </c>
      <c r="D25" s="1" t="str">
        <v>D01</v>
      </c>
      <c r="E25" s="1" t="str">
        <v>RE Anna Nagar</v>
      </c>
      <c r="F25" s="1" t="str">
        <v>Chennai</v>
      </c>
      <c r="G25" s="1" t="str">
        <v>Tamil Nadu</v>
      </c>
      <c r="H25" s="1" t="str">
        <v>Continental GT 650</v>
      </c>
      <c r="I25" s="1" t="str">
        <v>Cafe Racer</v>
      </c>
      <c r="J25" s="1" t="str">
        <v>British Racing Green</v>
      </c>
      <c r="K25" s="1" t="str">
        <v>1</v>
      </c>
      <c r="L25" s="1" t="str">
        <v>315000</v>
      </c>
      <c r="M25" s="1" t="str">
        <v>240000</v>
      </c>
      <c r="N25" s="1" t="str">
        <v>Individual</v>
      </c>
    </row>
    <row r="26" spans="1:14" x14ac:dyDescent="0.25">
      <c r="A26" s="1" t="s">
        <v>25</v>
      </c>
      <c r="B26" s="1" t="str" cm="1">
        <f t="array" ref="B26:N26">_xlfn.TEXTSPLIT(A26,",")</f>
        <v>1025</v>
      </c>
      <c r="C26" s="1" t="str">
        <v>2025-09-10</v>
      </c>
      <c r="D26" s="1" t="str">
        <v>D08</v>
      </c>
      <c r="E26" s="1" t="str">
        <v>RE Sector 17</v>
      </c>
      <c r="F26" s="1" t="str">
        <v>Chandigarh</v>
      </c>
      <c r="G26" s="1" t="str">
        <v>Punjab</v>
      </c>
      <c r="H26" s="1" t="str">
        <v>Meteor 350</v>
      </c>
      <c r="I26" s="1" t="str">
        <v>Cruiser</v>
      </c>
      <c r="J26" s="1" t="str">
        <v>Fireball Yellow</v>
      </c>
      <c r="K26" s="1" t="str">
        <v>1</v>
      </c>
      <c r="L26" s="1" t="str">
        <v>205000</v>
      </c>
      <c r="M26" s="1" t="str">
        <v>155000</v>
      </c>
      <c r="N26" s="1" t="str">
        <v>Individual</v>
      </c>
    </row>
    <row r="27" spans="1:14" x14ac:dyDescent="0.25">
      <c r="A27" s="1" t="s">
        <v>26</v>
      </c>
      <c r="B27" s="1" t="str" cm="1">
        <f t="array" ref="B27:N27">_xlfn.TEXTSPLIT(A27,",")</f>
        <v>1026</v>
      </c>
      <c r="C27" s="1" t="str">
        <v>2025-10-01</v>
      </c>
      <c r="D27" s="1" t="str">
        <v>D04</v>
      </c>
      <c r="E27" s="1" t="str">
        <v>RE Park Street</v>
      </c>
      <c r="F27" s="1" t="str">
        <v>Kolkata</v>
      </c>
      <c r="G27" s="1" t="str">
        <v>West Bengal</v>
      </c>
      <c r="H27" s="1" t="str">
        <v>Bullet 350</v>
      </c>
      <c r="I27" s="1" t="str">
        <v>Retro</v>
      </c>
      <c r="J27" s="1" t="str">
        <v>Black</v>
      </c>
      <c r="K27" s="1" t="str">
        <v>2</v>
      </c>
      <c r="L27" s="1" t="str">
        <v>173000</v>
      </c>
      <c r="M27" s="1" t="str">
        <v>130000</v>
      </c>
      <c r="N27" s="1" t="str">
        <v>Individual</v>
      </c>
    </row>
    <row r="28" spans="1:14" x14ac:dyDescent="0.25">
      <c r="A28" s="1" t="s">
        <v>27</v>
      </c>
      <c r="B28" s="1" t="str" cm="1">
        <f t="array" ref="B28:N28">_xlfn.TEXTSPLIT(A28,",")</f>
        <v>1027</v>
      </c>
      <c r="C28" s="1" t="str">
        <v>2025-10-05</v>
      </c>
      <c r="D28" s="1" t="str">
        <v>D02</v>
      </c>
      <c r="E28" s="1" t="str">
        <v>RE MG Road</v>
      </c>
      <c r="F28" s="1" t="str">
        <v>Bangalore</v>
      </c>
      <c r="G28" s="1" t="str">
        <v>Karnataka</v>
      </c>
      <c r="H28" s="1" t="str">
        <v>Classic 350</v>
      </c>
      <c r="I28" s="1" t="str">
        <v>Retro</v>
      </c>
      <c r="J28" s="1" t="str">
        <v>Halcyon Black</v>
      </c>
      <c r="K28" s="1" t="str">
        <v>2</v>
      </c>
      <c r="L28" s="1" t="str">
        <v>195000</v>
      </c>
      <c r="M28" s="1" t="str">
        <v>145000</v>
      </c>
      <c r="N28" s="1" t="str">
        <v>Individual</v>
      </c>
    </row>
    <row r="29" spans="1:14" x14ac:dyDescent="0.25">
      <c r="A29" s="1" t="s">
        <v>28</v>
      </c>
      <c r="B29" s="1" t="str" cm="1">
        <f t="array" ref="B29:N29">_xlfn.TEXTSPLIT(A29,",")</f>
        <v>1028</v>
      </c>
      <c r="C29" s="1" t="str">
        <v>2025-10-12</v>
      </c>
      <c r="D29" s="1" t="str">
        <v>D09</v>
      </c>
      <c r="E29" s="1" t="str">
        <v>RE MI Road</v>
      </c>
      <c r="F29" s="1" t="str">
        <v>Jaipur</v>
      </c>
      <c r="G29" s="1" t="str">
        <v>Rajasthan</v>
      </c>
      <c r="H29" s="1" t="str">
        <v>Hunter 350</v>
      </c>
      <c r="I29" s="1" t="str">
        <v>Roadster</v>
      </c>
      <c r="J29" s="1" t="str">
        <v>Factory Black</v>
      </c>
      <c r="K29" s="1" t="str">
        <v>1</v>
      </c>
      <c r="L29" s="1" t="str">
        <v>150000</v>
      </c>
      <c r="M29" s="1" t="str">
        <v>110000</v>
      </c>
      <c r="N29" s="1" t="str">
        <v>Individual</v>
      </c>
    </row>
    <row r="30" spans="1:14" x14ac:dyDescent="0.25">
      <c r="A30" s="1" t="s">
        <v>29</v>
      </c>
      <c r="B30" s="1" t="str" cm="1">
        <f t="array" ref="B30:N30">_xlfn.TEXTSPLIT(A30,",")</f>
        <v>1029</v>
      </c>
      <c r="C30" s="1" t="str">
        <v>2025-10-18</v>
      </c>
      <c r="D30" s="1" t="str">
        <v>D03</v>
      </c>
      <c r="E30" s="1" t="str">
        <v>RE FC Road</v>
      </c>
      <c r="F30" s="1" t="str">
        <v>Pune</v>
      </c>
      <c r="G30" s="1" t="str">
        <v>Maharashtra</v>
      </c>
      <c r="H30" s="1" t="str">
        <v>Super Meteor 650</v>
      </c>
      <c r="I30" s="1" t="str">
        <v>Cruiser</v>
      </c>
      <c r="J30" s="1" t="str">
        <v>Astral Blue</v>
      </c>
      <c r="K30" s="1" t="str">
        <v>1</v>
      </c>
      <c r="L30" s="1" t="str">
        <v>350000</v>
      </c>
      <c r="M30" s="1" t="str">
        <v>270000</v>
      </c>
      <c r="N30" s="1" t="str">
        <v>Corporate</v>
      </c>
    </row>
    <row r="31" spans="1:14" x14ac:dyDescent="0.25">
      <c r="A31" s="1" t="s">
        <v>30</v>
      </c>
      <c r="B31" s="1" t="str" cm="1">
        <f t="array" ref="B31:N31">_xlfn.TEXTSPLIT(A31,",")</f>
        <v>1030</v>
      </c>
      <c r="C31" s="1" t="str">
        <v>2025-11-02</v>
      </c>
      <c r="D31" s="1" t="str">
        <v>D06</v>
      </c>
      <c r="E31" s="1" t="str">
        <v>RE Banjara Hills</v>
      </c>
      <c r="F31" s="1" t="str">
        <v>Hyderabad</v>
      </c>
      <c r="G31" s="1" t="str">
        <v>Telangana</v>
      </c>
      <c r="H31" s="1" t="str">
        <v>Meteor 350</v>
      </c>
      <c r="I31" s="1" t="str">
        <v>Cruiser</v>
      </c>
      <c r="J31" s="1" t="str">
        <v>Supernova Brown</v>
      </c>
      <c r="K31" s="1" t="str">
        <v>1</v>
      </c>
      <c r="L31" s="1" t="str">
        <v>215000</v>
      </c>
      <c r="M31" s="1" t="str">
        <v>165000</v>
      </c>
      <c r="N31" s="1" t="str">
        <v>Individual</v>
      </c>
    </row>
    <row r="32" spans="1:14" x14ac:dyDescent="0.25">
      <c r="A32" s="1" t="s">
        <v>31</v>
      </c>
      <c r="B32" s="1" t="str" cm="1">
        <f t="array" ref="B32:N32">_xlfn.TEXTSPLIT(A32,",")</f>
        <v>1031</v>
      </c>
      <c r="C32" s="1" t="str">
        <v>2025-11-08</v>
      </c>
      <c r="D32" s="1" t="str">
        <v>D01</v>
      </c>
      <c r="E32" s="1" t="str">
        <v>RE Anna Nagar</v>
      </c>
      <c r="F32" s="1" t="str">
        <v>Chennai</v>
      </c>
      <c r="G32" s="1" t="str">
        <v>Tamil Nadu</v>
      </c>
      <c r="H32" s="1" t="str">
        <v>Scram 411</v>
      </c>
      <c r="I32" s="1" t="str">
        <v>ADV</v>
      </c>
      <c r="J32" s="1" t="str">
        <v>Blazing Black</v>
      </c>
      <c r="K32" s="1" t="str">
        <v>1</v>
      </c>
      <c r="L32" s="1" t="str">
        <v>206000</v>
      </c>
      <c r="M32" s="1" t="str">
        <v>156000</v>
      </c>
      <c r="N32" s="1" t="str">
        <v>Individual</v>
      </c>
    </row>
    <row r="33" spans="1:14" x14ac:dyDescent="0.25">
      <c r="A33" s="1" t="s">
        <v>32</v>
      </c>
      <c r="B33" s="1" t="str" cm="1">
        <f t="array" ref="B33:N33">_xlfn.TEXTSPLIT(A33,",")</f>
        <v>1032</v>
      </c>
      <c r="C33" s="1" t="str">
        <v>2025-11-15</v>
      </c>
      <c r="D33" s="1" t="str">
        <v>D05</v>
      </c>
      <c r="E33" s="1" t="str">
        <v>RE Connaught Place</v>
      </c>
      <c r="F33" s="1" t="str">
        <v>Delhi</v>
      </c>
      <c r="G33" s="1" t="str">
        <v>Delhi</v>
      </c>
      <c r="H33" s="1" t="str">
        <v>Classic 350</v>
      </c>
      <c r="I33" s="1" t="str">
        <v>Retro</v>
      </c>
      <c r="J33" s="1" t="str">
        <v>Chrome Red</v>
      </c>
      <c r="K33" s="1" t="str">
        <v>4</v>
      </c>
      <c r="L33" s="1" t="str">
        <v>195000</v>
      </c>
      <c r="M33" s="1" t="str">
        <v>145000</v>
      </c>
      <c r="N33" s="1" t="str">
        <v>Individual</v>
      </c>
    </row>
    <row r="34" spans="1:14" x14ac:dyDescent="0.25">
      <c r="A34" s="1" t="s">
        <v>33</v>
      </c>
      <c r="B34" s="1" t="str" cm="1">
        <f t="array" ref="B34:N34">_xlfn.TEXTSPLIT(A34,",")</f>
        <v>1033</v>
      </c>
      <c r="C34" s="1" t="str">
        <v>2025-11-20</v>
      </c>
      <c r="D34" s="1" t="str">
        <v>D10</v>
      </c>
      <c r="E34" s="1" t="str">
        <v>RE Hazratganj</v>
      </c>
      <c r="F34" s="1" t="str">
        <v>Lucknow</v>
      </c>
      <c r="G34" s="1" t="str">
        <v>Uttar Pradesh</v>
      </c>
      <c r="H34" s="1" t="str">
        <v>Hunter 350</v>
      </c>
      <c r="I34" s="1" t="str">
        <v>Roadster</v>
      </c>
      <c r="J34" s="1" t="str">
        <v>Rebel Blue</v>
      </c>
      <c r="K34" s="1" t="str">
        <v>1</v>
      </c>
      <c r="L34" s="1" t="str">
        <v>150000</v>
      </c>
      <c r="M34" s="1" t="str">
        <v>110000</v>
      </c>
      <c r="N34" s="1" t="str">
        <v>Individual</v>
      </c>
    </row>
    <row r="35" spans="1:14" x14ac:dyDescent="0.25">
      <c r="A35" s="1" t="s">
        <v>34</v>
      </c>
      <c r="B35" s="1" t="str" cm="1">
        <f t="array" ref="B35:N35">_xlfn.TEXTSPLIT(A35,",")</f>
        <v>1034</v>
      </c>
      <c r="C35" s="1" t="str">
        <v>2025-12-01</v>
      </c>
      <c r="D35" s="1" t="str">
        <v>D02</v>
      </c>
      <c r="E35" s="1" t="str">
        <v>RE MG Road</v>
      </c>
      <c r="F35" s="1" t="str">
        <v>Bangalore</v>
      </c>
      <c r="G35" s="1" t="str">
        <v>Karnataka</v>
      </c>
      <c r="H35" s="1" t="str">
        <v>Continental GT 650</v>
      </c>
      <c r="I35" s="1" t="str">
        <v>Cafe Racer</v>
      </c>
      <c r="J35" s="1" t="str">
        <v>Mister Clean</v>
      </c>
      <c r="K35" s="1" t="str">
        <v>1</v>
      </c>
      <c r="L35" s="1" t="str">
        <v>315000</v>
      </c>
      <c r="M35" s="1" t="str">
        <v>240000</v>
      </c>
      <c r="N35" s="1" t="str">
        <v>Corporate</v>
      </c>
    </row>
    <row r="36" spans="1:14" x14ac:dyDescent="0.25">
      <c r="A36" s="1" t="s">
        <v>35</v>
      </c>
      <c r="B36" s="1" t="str" cm="1">
        <f t="array" ref="B36:N36">_xlfn.TEXTSPLIT(A36,",")</f>
        <v>1035</v>
      </c>
      <c r="C36" s="1" t="str">
        <v>2025-12-05</v>
      </c>
      <c r="D36" s="1" t="str">
        <v>D07</v>
      </c>
      <c r="E36" s="1" t="str">
        <v>RE Navrangpura</v>
      </c>
      <c r="F36" s="1" t="str">
        <v>Ahmedabad</v>
      </c>
      <c r="G36" s="1" t="str">
        <v>Gujarat</v>
      </c>
      <c r="H36" s="1" t="str">
        <v>Bullet 350</v>
      </c>
      <c r="I36" s="1" t="str">
        <v>Retro</v>
      </c>
      <c r="J36" s="1" t="str">
        <v>Marsh Grey</v>
      </c>
      <c r="K36" s="1" t="str">
        <v>1</v>
      </c>
      <c r="L36" s="1" t="str">
        <v>173000</v>
      </c>
      <c r="M36" s="1" t="str">
        <v>130000</v>
      </c>
      <c r="N36" s="1" t="str">
        <v>Individual</v>
      </c>
    </row>
    <row r="37" spans="1:14" x14ac:dyDescent="0.25">
      <c r="A37" s="1" t="s">
        <v>36</v>
      </c>
      <c r="B37" s="1" t="str" cm="1">
        <f t="array" ref="B37:N37">_xlfn.TEXTSPLIT(A37,",")</f>
        <v>1036</v>
      </c>
      <c r="C37" s="1" t="str">
        <v>2025-12-10</v>
      </c>
      <c r="D37" s="1" t="str">
        <v>D04</v>
      </c>
      <c r="E37" s="1" t="str">
        <v>RE Park Street</v>
      </c>
      <c r="F37" s="1" t="str">
        <v>Kolkata</v>
      </c>
      <c r="G37" s="1" t="str">
        <v>West Bengal</v>
      </c>
      <c r="H37" s="1" t="str">
        <v>Classic 350</v>
      </c>
      <c r="I37" s="1" t="str">
        <v>Retro</v>
      </c>
      <c r="J37" s="1" t="str">
        <v>Signals Sand</v>
      </c>
      <c r="K37" s="1" t="str">
        <v>2</v>
      </c>
      <c r="L37" s="1" t="str">
        <v>195000</v>
      </c>
      <c r="M37" s="1" t="str">
        <v>145000</v>
      </c>
      <c r="N37" s="1" t="str">
        <v>Individual</v>
      </c>
    </row>
    <row r="38" spans="1:14" x14ac:dyDescent="0.25">
      <c r="A38" s="1" t="s">
        <v>37</v>
      </c>
      <c r="B38" s="1" t="str" cm="1">
        <f t="array" ref="B38:N38">_xlfn.TEXTSPLIT(A38,",")</f>
        <v>1037</v>
      </c>
      <c r="C38" s="1" t="str">
        <v>2025-12-18</v>
      </c>
      <c r="D38" s="1" t="str">
        <v>D03</v>
      </c>
      <c r="E38" s="1" t="str">
        <v>RE FC Road</v>
      </c>
      <c r="F38" s="1" t="str">
        <v>Pune</v>
      </c>
      <c r="G38" s="1" t="str">
        <v>Maharashtra</v>
      </c>
      <c r="H38" s="1" t="str">
        <v>Meteor 350</v>
      </c>
      <c r="I38" s="1" t="str">
        <v>Cruiser</v>
      </c>
      <c r="J38" s="1" t="str">
        <v>Stellar Red</v>
      </c>
      <c r="K38" s="1" t="str">
        <v>1</v>
      </c>
      <c r="L38" s="1" t="str">
        <v>205000</v>
      </c>
      <c r="M38" s="1" t="str">
        <v>155000</v>
      </c>
      <c r="N38" s="1" t="str">
        <v>Individual</v>
      </c>
    </row>
    <row r="39" spans="1:14" x14ac:dyDescent="0.25">
      <c r="A39" s="1" t="s">
        <v>38</v>
      </c>
      <c r="B39" s="1" t="str" cm="1">
        <f t="array" ref="B39:N39">_xlfn.TEXTSPLIT(A39,",")</f>
        <v>1038</v>
      </c>
      <c r="C39" s="1" t="str">
        <v>2025-12-22</v>
      </c>
      <c r="D39" s="1" t="str">
        <v>D01</v>
      </c>
      <c r="E39" s="1" t="str">
        <v>RE Anna Nagar</v>
      </c>
      <c r="F39" s="1" t="str">
        <v>Chennai</v>
      </c>
      <c r="G39" s="1" t="str">
        <v>Tamil Nadu</v>
      </c>
      <c r="H39" s="1" t="str">
        <v>Super Meteor 650</v>
      </c>
      <c r="I39" s="1" t="str">
        <v>Cruiser</v>
      </c>
      <c r="J39" s="1" t="str">
        <v>Interstellar Grey</v>
      </c>
      <c r="K39" s="1" t="str">
        <v>1</v>
      </c>
      <c r="L39" s="1" t="str">
        <v>350000</v>
      </c>
      <c r="M39" s="1" t="str">
        <v>270000</v>
      </c>
      <c r="N39" s="1" t="str">
        <v>Individual</v>
      </c>
    </row>
    <row r="40" spans="1:14" x14ac:dyDescent="0.25">
      <c r="A40" s="1" t="s">
        <v>39</v>
      </c>
      <c r="B40" s="1" t="str" cm="1">
        <f t="array" ref="B40:N40">_xlfn.TEXTSPLIT(A40,",")</f>
        <v>1039</v>
      </c>
      <c r="C40" s="1" t="str">
        <v>2026-01-03</v>
      </c>
      <c r="D40" s="1" t="str">
        <v>D08</v>
      </c>
      <c r="E40" s="1" t="str">
        <v>RE Sector 17</v>
      </c>
      <c r="F40" s="1" t="str">
        <v>Chandigarh</v>
      </c>
      <c r="G40" s="1" t="str">
        <v>Punjab</v>
      </c>
      <c r="H40" s="1" t="str">
        <v>Hunter 350</v>
      </c>
      <c r="I40" s="1" t="str">
        <v>Roadster</v>
      </c>
      <c r="J40" s="1" t="str">
        <v>Dapper Grey</v>
      </c>
      <c r="K40" s="1" t="str">
        <v>2</v>
      </c>
      <c r="L40" s="1" t="str">
        <v>150000</v>
      </c>
      <c r="M40" s="1" t="str">
        <v>110000</v>
      </c>
      <c r="N40" s="1" t="str">
        <v>Individual</v>
      </c>
    </row>
    <row r="41" spans="1:14" x14ac:dyDescent="0.25">
      <c r="A41" s="1" t="s">
        <v>40</v>
      </c>
      <c r="B41" s="1" t="str" cm="1">
        <f t="array" ref="B41:N41">_xlfn.TEXTSPLIT(A41,",")</f>
        <v>1040</v>
      </c>
      <c r="C41" s="1" t="str">
        <v>2026-01-10</v>
      </c>
      <c r="D41" s="1" t="str">
        <v>D05</v>
      </c>
      <c r="E41" s="1" t="str">
        <v>RE Connaught Place</v>
      </c>
      <c r="F41" s="1" t="str">
        <v>Delhi</v>
      </c>
      <c r="G41" s="1" t="str">
        <v>Delhi</v>
      </c>
      <c r="H41" s="1" t="str">
        <v>Classic 350</v>
      </c>
      <c r="I41" s="1" t="str">
        <v>Retro</v>
      </c>
      <c r="J41" s="1" t="str">
        <v>Halcyon Green</v>
      </c>
      <c r="K41" s="1" t="str">
        <v>1</v>
      </c>
      <c r="L41" s="1" t="str">
        <v>195000</v>
      </c>
      <c r="M41" s="1" t="str">
        <v>145000</v>
      </c>
      <c r="N41" s="1" t="str">
        <v>Corporate</v>
      </c>
    </row>
    <row r="42" spans="1:14" x14ac:dyDescent="0.25">
      <c r="A42" s="1" t="s">
        <v>41</v>
      </c>
      <c r="B42" s="1" t="str" cm="1">
        <f t="array" ref="B42:N42">_xlfn.TEXTSPLIT(A42,",")</f>
        <v>1041</v>
      </c>
      <c r="C42" s="1" t="str">
        <v>2026-01-15</v>
      </c>
      <c r="D42" s="1" t="str">
        <v>D06</v>
      </c>
      <c r="E42" s="1" t="str">
        <v>RE Banjara Hills</v>
      </c>
      <c r="F42" s="1" t="str">
        <v>Hyderabad</v>
      </c>
      <c r="G42" s="1" t="str">
        <v>Telangana</v>
      </c>
      <c r="H42" s="1" t="str">
        <v>Scram 411</v>
      </c>
      <c r="I42" s="1" t="str">
        <v>ADV</v>
      </c>
      <c r="J42" s="1" t="str">
        <v>White Flame</v>
      </c>
      <c r="K42" s="1" t="str">
        <v>1</v>
      </c>
      <c r="L42" s="1" t="str">
        <v>206000</v>
      </c>
      <c r="M42" s="1" t="str">
        <v>156000</v>
      </c>
      <c r="N42" s="1" t="str">
        <v>Individual</v>
      </c>
    </row>
    <row r="43" spans="1:14" x14ac:dyDescent="0.25">
      <c r="A43" s="1" t="s">
        <v>42</v>
      </c>
      <c r="B43" s="1" t="str" cm="1">
        <f t="array" ref="B43:N43">_xlfn.TEXTSPLIT(A43,",")</f>
        <v>1042</v>
      </c>
      <c r="C43" s="1" t="str">
        <v>2026-01-20</v>
      </c>
      <c r="D43" s="1" t="str">
        <v>D02</v>
      </c>
      <c r="E43" s="1" t="str">
        <v>RE MG Road</v>
      </c>
      <c r="F43" s="1" t="str">
        <v>Bangalore</v>
      </c>
      <c r="G43" s="1" t="str">
        <v>Karnataka</v>
      </c>
      <c r="H43" s="1" t="str">
        <v>Meteor 350</v>
      </c>
      <c r="I43" s="1" t="str">
        <v>Cruiser</v>
      </c>
      <c r="J43" s="1" t="str">
        <v>Fireball Red</v>
      </c>
      <c r="K43" s="1" t="str">
        <v>1</v>
      </c>
      <c r="L43" s="1" t="str">
        <v>205000</v>
      </c>
      <c r="M43" s="1" t="str">
        <v>155000</v>
      </c>
      <c r="N43" s="1" t="str">
        <v>Individual</v>
      </c>
    </row>
    <row r="44" spans="1:14" x14ac:dyDescent="0.25">
      <c r="A44" s="1" t="s">
        <v>43</v>
      </c>
      <c r="B44" s="1" t="str" cm="1">
        <f t="array" ref="B44:N44">_xlfn.TEXTSPLIT(A44,",")</f>
        <v>1043</v>
      </c>
      <c r="C44" s="1" t="str">
        <v>2026-02-01</v>
      </c>
      <c r="D44" s="1" t="str">
        <v>D09</v>
      </c>
      <c r="E44" s="1" t="str">
        <v>RE MI Road</v>
      </c>
      <c r="F44" s="1" t="str">
        <v>Jaipur</v>
      </c>
      <c r="G44" s="1" t="str">
        <v>Rajasthan</v>
      </c>
      <c r="H44" s="1" t="str">
        <v>Bullet 350</v>
      </c>
      <c r="I44" s="1" t="str">
        <v>Retro</v>
      </c>
      <c r="J44" s="1" t="str">
        <v>Black</v>
      </c>
      <c r="K44" s="1" t="str">
        <v>1</v>
      </c>
      <c r="L44" s="1" t="str">
        <v>173000</v>
      </c>
      <c r="M44" s="1" t="str">
        <v>130000</v>
      </c>
      <c r="N44" s="1" t="str">
        <v>Individual</v>
      </c>
    </row>
    <row r="45" spans="1:14" x14ac:dyDescent="0.25">
      <c r="A45" s="1" t="s">
        <v>44</v>
      </c>
      <c r="B45" s="1" t="str" cm="1">
        <f t="array" ref="B45:N45">_xlfn.TEXTSPLIT(A45,",")</f>
        <v>1044</v>
      </c>
      <c r="C45" s="1" t="str">
        <v>2026-02-05</v>
      </c>
      <c r="D45" s="1" t="str">
        <v>D01</v>
      </c>
      <c r="E45" s="1" t="str">
        <v>RE Anna Nagar</v>
      </c>
      <c r="F45" s="1" t="str">
        <v>Chennai</v>
      </c>
      <c r="G45" s="1" t="str">
        <v>Tamil Nadu</v>
      </c>
      <c r="H45" s="1" t="str">
        <v>Continental GT 650</v>
      </c>
      <c r="I45" s="1" t="str">
        <v>Cafe Racer</v>
      </c>
      <c r="J45" s="1" t="str">
        <v>Chrome</v>
      </c>
      <c r="K45" s="1" t="str">
        <v>1</v>
      </c>
      <c r="L45" s="1" t="str">
        <v>315000</v>
      </c>
      <c r="M45" s="1" t="str">
        <v>240000</v>
      </c>
      <c r="N45" s="1" t="str">
        <v>Individual</v>
      </c>
    </row>
    <row r="46" spans="1:14" x14ac:dyDescent="0.25">
      <c r="A46" s="1" t="s">
        <v>45</v>
      </c>
      <c r="B46" s="1" t="str" cm="1">
        <f t="array" ref="B46:N46">_xlfn.TEXTSPLIT(A46,",")</f>
        <v>1045</v>
      </c>
      <c r="C46" s="1" t="str">
        <v>2026-02-10</v>
      </c>
      <c r="D46" s="1" t="str">
        <v>D03</v>
      </c>
      <c r="E46" s="1" t="str">
        <v>RE FC Road</v>
      </c>
      <c r="F46" s="1" t="str">
        <v>Pune</v>
      </c>
      <c r="G46" s="1" t="str">
        <v>Maharashtra</v>
      </c>
      <c r="H46" s="1" t="str">
        <v>Classic 350</v>
      </c>
      <c r="I46" s="1" t="str">
        <v>Retro</v>
      </c>
      <c r="J46" s="1" t="str">
        <v>Stealth Black</v>
      </c>
      <c r="K46" s="1" t="str">
        <v>2</v>
      </c>
      <c r="L46" s="1" t="str">
        <v>195000</v>
      </c>
      <c r="M46" s="1" t="str">
        <v>145000</v>
      </c>
      <c r="N46" s="1" t="str">
        <v>Individual</v>
      </c>
    </row>
    <row r="47" spans="1:14" x14ac:dyDescent="0.25">
      <c r="A47" s="1" t="s">
        <v>46</v>
      </c>
      <c r="B47" s="1" t="str" cm="1">
        <f t="array" ref="B47:N47">_xlfn.TEXTSPLIT(A47,",")</f>
        <v>1046</v>
      </c>
      <c r="C47" s="1" t="str">
        <v>2026-02-14</v>
      </c>
      <c r="D47" s="1" t="str">
        <v>D04</v>
      </c>
      <c r="E47" s="1" t="str">
        <v>RE Park Street</v>
      </c>
      <c r="F47" s="1" t="str">
        <v>Kolkata</v>
      </c>
      <c r="G47" s="1" t="str">
        <v>West Bengal</v>
      </c>
      <c r="H47" s="1" t="str">
        <v>Hunter 350</v>
      </c>
      <c r="I47" s="1" t="str">
        <v>Roadster</v>
      </c>
      <c r="J47" s="1" t="str">
        <v>Rebel Blue</v>
      </c>
      <c r="K47" s="1" t="str">
        <v>1</v>
      </c>
      <c r="L47" s="1" t="str">
        <v>150000</v>
      </c>
      <c r="M47" s="1" t="str">
        <v>110000</v>
      </c>
      <c r="N47" s="1" t="str">
        <v>Individual</v>
      </c>
    </row>
    <row r="48" spans="1:14" x14ac:dyDescent="0.25">
      <c r="A48" s="1" t="s">
        <v>47</v>
      </c>
      <c r="B48" s="1" t="str" cm="1">
        <f t="array" ref="B48:N48">_xlfn.TEXTSPLIT(A48,",")</f>
        <v>1047</v>
      </c>
      <c r="C48" s="1" t="str">
        <v>2026-02-20</v>
      </c>
      <c r="D48" s="1" t="str">
        <v>D07</v>
      </c>
      <c r="E48" s="1" t="str">
        <v>RE Navrangpura</v>
      </c>
      <c r="F48" s="1" t="str">
        <v>Ahmedabad</v>
      </c>
      <c r="G48" s="1" t="str">
        <v>Gujarat</v>
      </c>
      <c r="H48" s="1" t="str">
        <v>Super Meteor 650</v>
      </c>
      <c r="I48" s="1" t="str">
        <v>Cruiser</v>
      </c>
      <c r="J48" s="1" t="str">
        <v>Astral Black</v>
      </c>
      <c r="K48" s="1" t="str">
        <v>1</v>
      </c>
      <c r="L48" s="1" t="str">
        <v>350000</v>
      </c>
      <c r="M48" s="1" t="str">
        <v>270000</v>
      </c>
      <c r="N48" s="1" t="str">
        <v>Corporate</v>
      </c>
    </row>
    <row r="49" spans="1:14" x14ac:dyDescent="0.25">
      <c r="A49" s="1" t="s">
        <v>48</v>
      </c>
      <c r="B49" s="1" t="str" cm="1">
        <f t="array" ref="B49:N49">_xlfn.TEXTSPLIT(A49,",")</f>
        <v>1048</v>
      </c>
      <c r="C49" s="1" t="str">
        <v>2026-03-01</v>
      </c>
      <c r="D49" s="1" t="str">
        <v>D05</v>
      </c>
      <c r="E49" s="1" t="str">
        <v>RE Connaught Place</v>
      </c>
      <c r="F49" s="1" t="str">
        <v>Delhi</v>
      </c>
      <c r="G49" s="1" t="str">
        <v>Delhi</v>
      </c>
      <c r="H49" s="1" t="str">
        <v>Meteor 350</v>
      </c>
      <c r="I49" s="1" t="str">
        <v>Cruiser</v>
      </c>
      <c r="J49" s="1" t="str">
        <v>Supernova Blue</v>
      </c>
      <c r="K49" s="1" t="str">
        <v>1</v>
      </c>
      <c r="L49" s="1" t="str">
        <v>215000</v>
      </c>
      <c r="M49" s="1" t="str">
        <v>165000</v>
      </c>
      <c r="N49" s="1" t="str">
        <v>Individual</v>
      </c>
    </row>
    <row r="50" spans="1:14" x14ac:dyDescent="0.25">
      <c r="A50" s="1" t="s">
        <v>49</v>
      </c>
      <c r="B50" s="1" t="str" cm="1">
        <f t="array" ref="B50:N50">_xlfn.TEXTSPLIT(A50,",")</f>
        <v>1049</v>
      </c>
      <c r="C50" s="1" t="str">
        <v>2026-03-05</v>
      </c>
      <c r="D50" s="1" t="str">
        <v>D10</v>
      </c>
      <c r="E50" s="1" t="str">
        <v>RE Hazratganj</v>
      </c>
      <c r="F50" s="1" t="str">
        <v>Lucknow</v>
      </c>
      <c r="G50" s="1" t="str">
        <v>Uttar Pradesh</v>
      </c>
      <c r="H50" s="1" t="str">
        <v>Classic 350</v>
      </c>
      <c r="I50" s="1" t="str">
        <v>Retro</v>
      </c>
      <c r="J50" s="1" t="str">
        <v>Signals Desert</v>
      </c>
      <c r="K50" s="1" t="str">
        <v>1</v>
      </c>
      <c r="L50" s="1" t="str">
        <v>195000</v>
      </c>
      <c r="M50" s="1" t="str">
        <v>145000</v>
      </c>
      <c r="N50" s="1" t="str">
        <v>Individual</v>
      </c>
    </row>
    <row r="51" spans="1:14" x14ac:dyDescent="0.25">
      <c r="A51" s="1" t="s">
        <v>50</v>
      </c>
      <c r="B51" s="1" t="str" cm="1">
        <f t="array" ref="B51:N51">_xlfn.TEXTSPLIT(A51,",")</f>
        <v>1050</v>
      </c>
      <c r="C51" s="1" t="str">
        <v>2026-03-10</v>
      </c>
      <c r="D51" s="1" t="str">
        <v>D02</v>
      </c>
      <c r="E51" s="1" t="str">
        <v>RE MG Road</v>
      </c>
      <c r="F51" s="1" t="str">
        <v>Bangalore</v>
      </c>
      <c r="G51" s="1" t="str">
        <v>Karnataka</v>
      </c>
      <c r="H51" s="1" t="str">
        <v>Bullet 350</v>
      </c>
      <c r="I51" s="1" t="str">
        <v>Retro</v>
      </c>
      <c r="J51" s="1" t="str">
        <v>Forest Green</v>
      </c>
      <c r="K51" s="1" t="str">
        <v>1</v>
      </c>
      <c r="L51" s="1" t="str">
        <v>173000</v>
      </c>
      <c r="M51" s="1" t="str">
        <v>130000</v>
      </c>
      <c r="N51" s="1" t="str">
        <v>Individual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G</dc:creator>
  <cp:lastModifiedBy>RAMKUMAR G</cp:lastModifiedBy>
  <dcterms:created xsi:type="dcterms:W3CDTF">2026-06-23T16:19:52Z</dcterms:created>
  <dcterms:modified xsi:type="dcterms:W3CDTF">2026-06-23T16:22:09Z</dcterms:modified>
</cp:coreProperties>
</file>